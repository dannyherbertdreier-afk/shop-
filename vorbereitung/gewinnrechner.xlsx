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leitung" sheetId="1" state="visible" r:id="rId3"/>
    <sheet name="Annahmen" sheetId="2" state="visible" r:id="rId4"/>
    <sheet name="Gewinnrechn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Betrag, den du dem Lieferanten pro Bestellung zahlst (Ware + Versand an den Kunden). Annahme: Vorsteuer wird nicht gesondert berücksichtigt – mit Steuerberater klären.</t>
        </r>
      </text>
    </comment>
    <comment ref="K4" authorId="0">
      <text>
        <r>
          <rPr>
            <sz val="10"/>
            <rFont val="Arial"/>
            <family val="2"/>
          </rPr>
          <t xml:space="preserve">Nettoumsatz minus Einkauf, Werbung, Zahlungsgebühr, Fixkosten-Anteil und Retouren-Anteil. Vor Einkommensteuer.</t>
        </r>
      </text>
    </comment>
    <comment ref="M4" authorId="0">
      <text>
        <r>
          <rPr>
            <sz val="10"/>
            <rFont val="Arial"/>
            <family val="2"/>
          </rPr>
          <t xml:space="preserve">"Verlust" &lt; 0 €, "knapp" = Marge unter 15 %, "ok" = Marge ab 15 %. Die 15-%-Grenze ist eine Faustregel, keine Vorgabe.</t>
        </r>
      </text>
    </comment>
  </commentList>
</comments>
</file>

<file path=xl/sharedStrings.xml><?xml version="1.0" encoding="utf-8"?>
<sst xmlns="http://schemas.openxmlformats.org/spreadsheetml/2006/main" count="57" uniqueCount="57">
  <si>
    <t xml:space="preserve">Gewinnrechner – Anleitung</t>
  </si>
  <si>
    <t xml:space="preserve">1. Blatt "Annahmen": gelbe Felder mit echten Werten füllen (Steuerstatus, Gebühren, Fixkosten, erwartete Bestellungen, Retouren).</t>
  </si>
  <si>
    <t xml:space="preserve">2. Blatt "Gewinnrechner": pro Produkt eine Zeile, nur die gelben Spalten A–F ausfüllen. Platz für 30 Produkte.</t>
  </si>
  <si>
    <t xml:space="preserve">3. Die Zeilen 5–7 sind Beispiele mit erfundenen Zahlen. Überschreiben oder löschen.</t>
  </si>
  <si>
    <t xml:space="preserve">4. Spalte "Bewertung": Verlust (rot), knapp = unter 15 % Marge (orange), ok (grün).</t>
  </si>
  <si>
    <t xml:space="preserve">Farben: blaue Schrift auf Gelb = Eingabe · schwarz = Formel · grün = Wert aus dem Blatt "Annahmen".</t>
  </si>
  <si>
    <t xml:space="preserve">Wichtig: Alle Beispielwerte (Gebühren, Kosten, Bestellmengen) sind Platzhalter. Das Ergebnis ist eine Schätzung vor Einkommensteuer, keine Steuer- oder Finanzberatung.</t>
  </si>
  <si>
    <t xml:space="preserve">Steuerliche Annahmen (Umsatzsteuer, Vorsteuer, Kleinunternehmer) mit einem Steuerberater prüfen.</t>
  </si>
  <si>
    <t xml:space="preserve">Annahmen (gelten für alle Produkte)</t>
  </si>
  <si>
    <t xml:space="preserve">Gelb hinterlegte, blaue Werte sind Eingaben – bitte mit echten Werten ersetzen. Alle Beispielwerte sind Platzhalter, keine geprüften Konditionen.</t>
  </si>
  <si>
    <t xml:space="preserve">Annahme</t>
  </si>
  <si>
    <t xml:space="preserve">Wert</t>
  </si>
  <si>
    <t xml:space="preserve">Hinweis / Quelle</t>
  </si>
  <si>
    <t xml:space="preserve">Kleinunternehmer (Ja/Nein)</t>
  </si>
  <si>
    <t xml:space="preserve">Nein</t>
  </si>
  <si>
    <t xml:space="preserve">Bei "Ja" wird keine Umsatzsteuer abgezogen (Annahme: Kleinunternehmerregelung). Mit Steuerberater klären.</t>
  </si>
  <si>
    <t xml:space="preserve">Umsatzsteuersatz</t>
  </si>
  <si>
    <t xml:space="preserve">Regelsatz Deutschland 19 %. Ob für einzelne Produkte ein anderer Satz gilt, mit Steuerberater klären.</t>
  </si>
  <si>
    <t xml:space="preserve">Zahlungsgebühr in % vom Bruttobetrag</t>
  </si>
  <si>
    <t xml:space="preserve">BEISPIELWERT. Echte Gebühr beim gewählten Zahlungsanbieter / Shopify-Tarif prüfen.</t>
  </si>
  <si>
    <t xml:space="preserve">Zahlungsgebühr fix pro Bestellung (€)</t>
  </si>
  <si>
    <t xml:space="preserve">BEISPIELWERT. Beim Zahlungsanbieter prüfen.</t>
  </si>
  <si>
    <t xml:space="preserve">Shopify-Monatsgebühr (€)</t>
  </si>
  <si>
    <t xml:space="preserve">Laut Vergleichsportal (qualimero.com, 2026) Basic ca. 33 € netto/Monat bei monatlicher Zahlung. Auf shopify.com/de prüfen.</t>
  </si>
  <si>
    <t xml:space="preserve">Weitere feste Monatskosten (€)</t>
  </si>
  <si>
    <t xml:space="preserve">BEISPIELWERT, z. B. Apps, Rechtstexte-Abo, Domain anteilig.</t>
  </si>
  <si>
    <t xml:space="preserve">Erwartete Bestellungen pro Monat</t>
  </si>
  <si>
    <t xml:space="preserve">BEISPIELWERT. Verteilt die festen Kosten auf jede Bestellung.</t>
  </si>
  <si>
    <t xml:space="preserve">Retourenquote</t>
  </si>
  <si>
    <t xml:space="preserve">BEISPIELWERT. Anteil der Bestellungen, die zurückkommen.</t>
  </si>
  <si>
    <t xml:space="preserve">Kosten pro Retoure (€)</t>
  </si>
  <si>
    <t xml:space="preserve">BEISPIELWERT, z. B. Rücksendeetikett, nicht wiederverkaufbare Ware anteilig.</t>
  </si>
  <si>
    <t xml:space="preserve">Feste Kosten pro Bestellung (€)</t>
  </si>
  <si>
    <t xml:space="preserve">Berechnet: (Shopify + weitere Fixkosten) / Bestellungen pro Monat</t>
  </si>
  <si>
    <t xml:space="preserve">Retourenkosten pro Bestellung (€)</t>
  </si>
  <si>
    <t xml:space="preserve">Berechnet: Retourenquote × Kosten pro Retoure</t>
  </si>
  <si>
    <t xml:space="preserve">Gewinnrechner pro Produkt (eine Bestellung = ein Stück)</t>
  </si>
  <si>
    <t xml:space="preserve">Eingaben: gelbe Felder mit blauer Schrift (Spalten A–F). Alles andere wird berechnet. Zeilen 5–7 sind BEISPIELE mit erfundenen Zahlen – überschreiben oder löschen.</t>
  </si>
  <si>
    <t xml:space="preserve">Produkt</t>
  </si>
  <si>
    <t xml:space="preserve">Anbieter / Link</t>
  </si>
  <si>
    <t xml:space="preserve">Verkaufspreis brutto (€)</t>
  </si>
  <si>
    <t xml:space="preserve">Versand vom Kunden brutto (€)</t>
  </si>
  <si>
    <t xml:space="preserve">Einkauf inkl. Versand an Kunde (€)</t>
  </si>
  <si>
    <t xml:space="preserve">Werbekosten pro Bestellung (€)</t>
  </si>
  <si>
    <t xml:space="preserve">Umsatz netto (€)</t>
  </si>
  <si>
    <t xml:space="preserve">Zahlungsgebühr (€)</t>
  </si>
  <si>
    <t xml:space="preserve">Fixkosten-Anteil (€)</t>
  </si>
  <si>
    <t xml:space="preserve">Retouren-Anteil (€)</t>
  </si>
  <si>
    <t xml:space="preserve">Gewinn pro Bestellung (€)</t>
  </si>
  <si>
    <t xml:space="preserve">Marge (vom Nettoumsatz)</t>
  </si>
  <si>
    <t xml:space="preserve">Bewertung</t>
  </si>
  <si>
    <t xml:space="preserve">BEISPIEL Hunde-Hoodie (Print on Demand)</t>
  </si>
  <si>
    <t xml:space="preserve">z. B. Printify</t>
  </si>
  <si>
    <t xml:space="preserve">BEISPIEL Pfotenschuhe 4er-Set (Dropshipping)</t>
  </si>
  <si>
    <t xml:space="preserve">z. B. CJdropshipping</t>
  </si>
  <si>
    <t xml:space="preserve">BEISPIEL Hundehalstuch (Print on Demand)</t>
  </si>
  <si>
    <t xml:space="preserve">z. B. Printful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</si>
</sst>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;\-0.0%;\-"/>
    <numFmt numFmtId="166" formatCode="#,##0.00&quot; €&quot;;\-#,##0.00&quot; €&quot;;\-"/>
    <numFmt numFmtId="167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83D32"/>
        <bgColor rgb="FF00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83D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8</v>
      </c>
    </row>
    <row r="2" customFormat="false" ht="15" hidden="false" customHeight="false" outlineLevel="0" collapsed="false">
      <c r="A2" s="3" t="s">
        <v>9</v>
      </c>
    </row>
    <row r="4" customFormat="false" ht="15" hidden="false" customHeight="false" outlineLevel="0" collapsed="false">
      <c r="A4" s="4" t="s">
        <v>10</v>
      </c>
      <c r="B4" s="4" t="s">
        <v>11</v>
      </c>
      <c r="C4" s="4" t="s">
        <v>12</v>
      </c>
    </row>
    <row r="5" customFormat="false" ht="15" hidden="false" customHeight="false" outlineLevel="0" collapsed="false">
      <c r="A5" s="2" t="s">
        <v>13</v>
      </c>
      <c r="B5" s="5" t="s">
        <v>14</v>
      </c>
      <c r="C5" s="3" t="s">
        <v>15</v>
      </c>
    </row>
    <row r="6" customFormat="false" ht="15" hidden="false" customHeight="false" outlineLevel="0" collapsed="false">
      <c r="A6" s="2" t="s">
        <v>16</v>
      </c>
      <c r="B6" s="6" t="n">
        <v>0.19</v>
      </c>
      <c r="C6" s="3" t="s">
        <v>17</v>
      </c>
    </row>
    <row r="7" customFormat="false" ht="15" hidden="false" customHeight="false" outlineLevel="0" collapsed="false">
      <c r="A7" s="2" t="s">
        <v>18</v>
      </c>
      <c r="B7" s="6" t="n">
        <v>0.029</v>
      </c>
      <c r="C7" s="3" t="s">
        <v>19</v>
      </c>
    </row>
    <row r="8" customFormat="false" ht="15" hidden="false" customHeight="false" outlineLevel="0" collapsed="false">
      <c r="A8" s="2" t="s">
        <v>20</v>
      </c>
      <c r="B8" s="7" t="n">
        <v>0.25</v>
      </c>
      <c r="C8" s="3" t="s">
        <v>21</v>
      </c>
    </row>
    <row r="9" customFormat="false" ht="15" hidden="false" customHeight="false" outlineLevel="0" collapsed="false">
      <c r="A9" s="2" t="s">
        <v>22</v>
      </c>
      <c r="B9" s="7" t="n">
        <v>33</v>
      </c>
      <c r="C9" s="3" t="s">
        <v>23</v>
      </c>
    </row>
    <row r="10" customFormat="false" ht="15" hidden="false" customHeight="false" outlineLevel="0" collapsed="false">
      <c r="A10" s="2" t="s">
        <v>24</v>
      </c>
      <c r="B10" s="7" t="n">
        <v>20</v>
      </c>
      <c r="C10" s="3" t="s">
        <v>25</v>
      </c>
    </row>
    <row r="11" customFormat="false" ht="15" hidden="false" customHeight="false" outlineLevel="0" collapsed="false">
      <c r="A11" s="2" t="s">
        <v>26</v>
      </c>
      <c r="B11" s="8" t="n">
        <v>30</v>
      </c>
      <c r="C11" s="3" t="s">
        <v>27</v>
      </c>
    </row>
    <row r="12" customFormat="false" ht="15" hidden="false" customHeight="false" outlineLevel="0" collapsed="false">
      <c r="A12" s="2" t="s">
        <v>28</v>
      </c>
      <c r="B12" s="6" t="n">
        <v>0.1</v>
      </c>
      <c r="C12" s="3" t="s">
        <v>29</v>
      </c>
    </row>
    <row r="13" customFormat="false" ht="15" hidden="false" customHeight="false" outlineLevel="0" collapsed="false">
      <c r="A13" s="2" t="s">
        <v>30</v>
      </c>
      <c r="B13" s="7" t="n">
        <v>6</v>
      </c>
      <c r="C13" s="3" t="s">
        <v>31</v>
      </c>
    </row>
    <row r="15" customFormat="false" ht="15" hidden="false" customHeight="false" outlineLevel="0" collapsed="false">
      <c r="A15" s="9" t="s">
        <v>32</v>
      </c>
      <c r="B15" s="10" t="n">
        <f aca="false">IF(B11&gt;0,(B9+B10)/B11,0)</f>
        <v>1.76666666666667</v>
      </c>
      <c r="C15" s="3" t="s">
        <v>33</v>
      </c>
    </row>
    <row r="16" customFormat="false" ht="15" hidden="false" customHeight="false" outlineLevel="0" collapsed="false">
      <c r="A16" s="9" t="s">
        <v>34</v>
      </c>
      <c r="B16" s="10" t="n">
        <f aca="false">B12*B13</f>
        <v>0.6</v>
      </c>
      <c r="C16" s="3" t="s">
        <v>35</v>
      </c>
    </row>
  </sheetData>
  <dataValidations count="1">
    <dataValidation allowBlank="false" errorStyle="stop" operator="between" showDropDown="false" showErrorMessage="false" showInputMessage="false" sqref="B5" type="list">
      <formula1>"Ja,Nein"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10" min="8" style="0" width="13"/>
    <col collapsed="false" customWidth="true" hidden="false" outlineLevel="0" max="11" min="11" style="0" width="15"/>
    <col collapsed="false" customWidth="true" hidden="false" outlineLevel="0" max="12" min="12" style="0" width="13"/>
    <col collapsed="false" customWidth="true" hidden="false" outlineLevel="0" max="13" min="13" style="0" width="11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3" t="s">
        <v>37</v>
      </c>
    </row>
    <row r="4" customFormat="false" ht="45" hidden="false" customHeight="true" outlineLevel="0" collapsed="false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  <c r="K4" s="11" t="s">
        <v>48</v>
      </c>
      <c r="L4" s="11" t="s">
        <v>49</v>
      </c>
      <c r="M4" s="11" t="s">
        <v>50</v>
      </c>
    </row>
    <row r="5" customFormat="false" ht="15" hidden="false" customHeight="false" outlineLevel="0" collapsed="false">
      <c r="A5" s="5" t="s">
        <v>51</v>
      </c>
      <c r="B5" s="5" t="s">
        <v>52</v>
      </c>
      <c r="C5" s="7" t="n">
        <v>34.9</v>
      </c>
      <c r="D5" s="7" t="n">
        <v>0</v>
      </c>
      <c r="E5" s="7" t="n">
        <v>18.5</v>
      </c>
      <c r="F5" s="7" t="n">
        <v>4</v>
      </c>
      <c r="G5" s="12" t="n">
        <f aca="false">IF(C5="","",IF(Annahmen!$B$5="Ja",C5+D5,(C5+D5)/(1+Annahmen!$B$6)))</f>
        <v>29.327731092437</v>
      </c>
      <c r="H5" s="12" t="n">
        <f aca="false">IF(C5="","",(C5+D5)*Annahmen!$B$7+Annahmen!$B$8)</f>
        <v>1.2621</v>
      </c>
      <c r="I5" s="13" t="n">
        <f aca="false">IF(C5="","",Annahmen!$B$15)</f>
        <v>1.76666666666667</v>
      </c>
      <c r="J5" s="13" t="n">
        <f aca="false">IF(C5="","",Annahmen!$B$16)</f>
        <v>0.6</v>
      </c>
      <c r="K5" s="12" t="n">
        <f aca="false">IF(C5="","",G5-E5-F5-H5-I5-J5)</f>
        <v>3.19896442577031</v>
      </c>
      <c r="L5" s="14" t="n">
        <f aca="false">IF(C5="","",IF(G5&gt;0,K5/G5,0))</f>
        <v>0.109076437440306</v>
      </c>
      <c r="M5" s="15" t="str">
        <f aca="false">IF(C5="","",IF(K5&lt;0,"Verlust",IF(L5&lt;0.15,"knapp","ok")))</f>
        <v>knapp</v>
      </c>
    </row>
    <row r="6" customFormat="false" ht="15" hidden="false" customHeight="false" outlineLevel="0" collapsed="false">
      <c r="A6" s="5" t="s">
        <v>53</v>
      </c>
      <c r="B6" s="5" t="s">
        <v>54</v>
      </c>
      <c r="C6" s="7" t="n">
        <v>29.9</v>
      </c>
      <c r="D6" s="7" t="n">
        <v>4.9</v>
      </c>
      <c r="E6" s="7" t="n">
        <v>12</v>
      </c>
      <c r="F6" s="7" t="n">
        <v>5</v>
      </c>
      <c r="G6" s="12" t="n">
        <f aca="false">IF(C6="","",IF(Annahmen!$B$5="Ja",C6+D6,(C6+D6)/(1+Annahmen!$B$6)))</f>
        <v>29.2436974789916</v>
      </c>
      <c r="H6" s="12" t="n">
        <f aca="false">IF(C6="","",(C6+D6)*Annahmen!$B$7+Annahmen!$B$8)</f>
        <v>1.2592</v>
      </c>
      <c r="I6" s="13" t="n">
        <f aca="false">IF(C6="","",Annahmen!$B$15)</f>
        <v>1.76666666666667</v>
      </c>
      <c r="J6" s="13" t="n">
        <f aca="false">IF(C6="","",Annahmen!$B$16)</f>
        <v>0.6</v>
      </c>
      <c r="K6" s="12" t="n">
        <f aca="false">IF(C6="","",G6-E6-F6-H6-I6-J6)</f>
        <v>8.61783081232493</v>
      </c>
      <c r="L6" s="14" t="n">
        <f aca="false">IF(C6="","",IF(G6&gt;0,K6/G6,0))</f>
        <v>0.294690191570881</v>
      </c>
      <c r="M6" s="15" t="str">
        <f aca="false">IF(C6="","",IF(K6&lt;0,"Verlust",IF(L6&lt;0.15,"knapp","ok")))</f>
        <v>ok</v>
      </c>
    </row>
    <row r="7" customFormat="false" ht="15" hidden="false" customHeight="false" outlineLevel="0" collapsed="false">
      <c r="A7" s="5" t="s">
        <v>55</v>
      </c>
      <c r="B7" s="5" t="s">
        <v>56</v>
      </c>
      <c r="C7" s="7" t="n">
        <v>19.9</v>
      </c>
      <c r="D7" s="7" t="n">
        <v>0</v>
      </c>
      <c r="E7" s="7" t="n">
        <v>11</v>
      </c>
      <c r="F7" s="7" t="n">
        <v>3</v>
      </c>
      <c r="G7" s="12" t="n">
        <f aca="false">IF(C7="","",IF(Annahmen!$B$5="Ja",C7+D7,(C7+D7)/(1+Annahmen!$B$6)))</f>
        <v>16.7226890756303</v>
      </c>
      <c r="H7" s="12" t="n">
        <f aca="false">IF(C7="","",(C7+D7)*Annahmen!$B$7+Annahmen!$B$8)</f>
        <v>0.8271</v>
      </c>
      <c r="I7" s="13" t="n">
        <f aca="false">IF(C7="","",Annahmen!$B$15)</f>
        <v>1.76666666666667</v>
      </c>
      <c r="J7" s="13" t="n">
        <f aca="false">IF(C7="","",Annahmen!$B$16)</f>
        <v>0.6</v>
      </c>
      <c r="K7" s="12" t="n">
        <f aca="false">IF(C7="","",G7-E7-F7-H7-I7-J7)</f>
        <v>-0.471077591036414</v>
      </c>
      <c r="L7" s="14" t="n">
        <f aca="false">IF(C7="","",IF(G7&gt;0,K7/G7,0))</f>
        <v>-0.0281699664991624</v>
      </c>
      <c r="M7" s="15" t="str">
        <f aca="false">IF(C7="","",IF(K7&lt;0,"Verlust",IF(L7&lt;0.15,"knapp","ok")))</f>
        <v>Verlust</v>
      </c>
    </row>
    <row r="8" customFormat="false" ht="15" hidden="false" customHeight="false" outlineLevel="0" collapsed="false">
      <c r="A8" s="5"/>
      <c r="B8" s="5"/>
      <c r="C8" s="7"/>
      <c r="D8" s="7"/>
      <c r="E8" s="7"/>
      <c r="F8" s="7"/>
      <c r="G8" s="12" t="str">
        <f aca="false">IF(C8="","",IF(Annahmen!$B$5="Ja",C8+D8,(C8+D8)/(1+Annahmen!$B$6)))</f>
        <v/>
      </c>
      <c r="H8" s="12" t="str">
        <f aca="false">IF(C8="","",(C8+D8)*Annahmen!$B$7+Annahmen!$B$8)</f>
        <v/>
      </c>
      <c r="I8" s="13" t="str">
        <f aca="false">IF(C8="","",Annahmen!$B$15)</f>
        <v/>
      </c>
      <c r="J8" s="13" t="str">
        <f aca="false">IF(C8="","",Annahmen!$B$16)</f>
        <v/>
      </c>
      <c r="K8" s="12" t="str">
        <f aca="false">IF(C8="","",G8-E8-F8-H8-I8-J8)</f>
        <v/>
      </c>
      <c r="L8" s="14" t="str">
        <f aca="false">IF(C8="","",IF(G8&gt;0,K8/G8,0))</f>
        <v/>
      </c>
      <c r="M8" s="15" t="str">
        <f aca="false">IF(C8="","",IF(K8&lt;0,"Verlust",IF(L8&lt;0.15,"knapp","ok")))</f>
        <v/>
      </c>
    </row>
    <row r="9" customFormat="false" ht="15" hidden="false" customHeight="false" outlineLevel="0" collapsed="false">
      <c r="A9" s="5"/>
      <c r="B9" s="5"/>
      <c r="C9" s="7"/>
      <c r="D9" s="7"/>
      <c r="E9" s="7"/>
      <c r="F9" s="7"/>
      <c r="G9" s="12" t="str">
        <f aca="false">IF(C9="","",IF(Annahmen!$B$5="Ja",C9+D9,(C9+D9)/(1+Annahmen!$B$6)))</f>
        <v/>
      </c>
      <c r="H9" s="12" t="str">
        <f aca="false">IF(C9="","",(C9+D9)*Annahmen!$B$7+Annahmen!$B$8)</f>
        <v/>
      </c>
      <c r="I9" s="13" t="str">
        <f aca="false">IF(C9="","",Annahmen!$B$15)</f>
        <v/>
      </c>
      <c r="J9" s="13" t="str">
        <f aca="false">IF(C9="","",Annahmen!$B$16)</f>
        <v/>
      </c>
      <c r="K9" s="12" t="str">
        <f aca="false">IF(C9="","",G9-E9-F9-H9-I9-J9)</f>
        <v/>
      </c>
      <c r="L9" s="14" t="str">
        <f aca="false">IF(C9="","",IF(G9&gt;0,K9/G9,0))</f>
        <v/>
      </c>
      <c r="M9" s="15" t="str">
        <f aca="false">IF(C9="","",IF(K9&lt;0,"Verlust",IF(L9&lt;0.15,"knapp","ok")))</f>
        <v/>
      </c>
    </row>
    <row r="10" customFormat="false" ht="15" hidden="false" customHeight="false" outlineLevel="0" collapsed="false">
      <c r="A10" s="5"/>
      <c r="B10" s="5"/>
      <c r="C10" s="7"/>
      <c r="D10" s="7"/>
      <c r="E10" s="7"/>
      <c r="F10" s="7"/>
      <c r="G10" s="12" t="str">
        <f aca="false">IF(C10="","",IF(Annahmen!$B$5="Ja",C10+D10,(C10+D10)/(1+Annahmen!$B$6)))</f>
        <v/>
      </c>
      <c r="H10" s="12" t="str">
        <f aca="false">IF(C10="","",(C10+D10)*Annahmen!$B$7+Annahmen!$B$8)</f>
        <v/>
      </c>
      <c r="I10" s="13" t="str">
        <f aca="false">IF(C10="","",Annahmen!$B$15)</f>
        <v/>
      </c>
      <c r="J10" s="13" t="str">
        <f aca="false">IF(C10="","",Annahmen!$B$16)</f>
        <v/>
      </c>
      <c r="K10" s="12" t="str">
        <f aca="false">IF(C10="","",G10-E10-F10-H10-I10-J10)</f>
        <v/>
      </c>
      <c r="L10" s="14" t="str">
        <f aca="false">IF(C10="","",IF(G10&gt;0,K10/G10,0))</f>
        <v/>
      </c>
      <c r="M10" s="15" t="str">
        <f aca="false">IF(C10="","",IF(K10&lt;0,"Verlust",IF(L10&lt;0.15,"knapp","ok")))</f>
        <v/>
      </c>
    </row>
    <row r="11" customFormat="false" ht="15" hidden="false" customHeight="false" outlineLevel="0" collapsed="false">
      <c r="A11" s="5"/>
      <c r="B11" s="5"/>
      <c r="C11" s="7"/>
      <c r="D11" s="7"/>
      <c r="E11" s="7"/>
      <c r="F11" s="7"/>
      <c r="G11" s="12" t="str">
        <f aca="false">IF(C11="","",IF(Annahmen!$B$5="Ja",C11+D11,(C11+D11)/(1+Annahmen!$B$6)))</f>
        <v/>
      </c>
      <c r="H11" s="12" t="str">
        <f aca="false">IF(C11="","",(C11+D11)*Annahmen!$B$7+Annahmen!$B$8)</f>
        <v/>
      </c>
      <c r="I11" s="13" t="str">
        <f aca="false">IF(C11="","",Annahmen!$B$15)</f>
        <v/>
      </c>
      <c r="J11" s="13" t="str">
        <f aca="false">IF(C11="","",Annahmen!$B$16)</f>
        <v/>
      </c>
      <c r="K11" s="12" t="str">
        <f aca="false">IF(C11="","",G11-E11-F11-H11-I11-J11)</f>
        <v/>
      </c>
      <c r="L11" s="14" t="str">
        <f aca="false">IF(C11="","",IF(G11&gt;0,K11/G11,0))</f>
        <v/>
      </c>
      <c r="M11" s="15" t="str">
        <f aca="false">IF(C11="","",IF(K11&lt;0,"Verlust",IF(L11&lt;0.15,"knapp","ok")))</f>
        <v/>
      </c>
    </row>
    <row r="12" customFormat="false" ht="15" hidden="false" customHeight="false" outlineLevel="0" collapsed="false">
      <c r="A12" s="5"/>
      <c r="B12" s="5"/>
      <c r="C12" s="7"/>
      <c r="D12" s="7"/>
      <c r="E12" s="7"/>
      <c r="F12" s="7"/>
      <c r="G12" s="12" t="str">
        <f aca="false">IF(C12="","",IF(Annahmen!$B$5="Ja",C12+D12,(C12+D12)/(1+Annahmen!$B$6)))</f>
        <v/>
      </c>
      <c r="H12" s="12" t="str">
        <f aca="false">IF(C12="","",(C12+D12)*Annahmen!$B$7+Annahmen!$B$8)</f>
        <v/>
      </c>
      <c r="I12" s="13" t="str">
        <f aca="false">IF(C12="","",Annahmen!$B$15)</f>
        <v/>
      </c>
      <c r="J12" s="13" t="str">
        <f aca="false">IF(C12="","",Annahmen!$B$16)</f>
        <v/>
      </c>
      <c r="K12" s="12" t="str">
        <f aca="false">IF(C12="","",G12-E12-F12-H12-I12-J12)</f>
        <v/>
      </c>
      <c r="L12" s="14" t="str">
        <f aca="false">IF(C12="","",IF(G12&gt;0,K12/G12,0))</f>
        <v/>
      </c>
      <c r="M12" s="15" t="str">
        <f aca="false">IF(C12="","",IF(K12&lt;0,"Verlust",IF(L12&lt;0.15,"knapp","ok")))</f>
        <v/>
      </c>
    </row>
    <row r="13" customFormat="false" ht="15" hidden="false" customHeight="false" outlineLevel="0" collapsed="false">
      <c r="A13" s="5"/>
      <c r="B13" s="5"/>
      <c r="C13" s="7"/>
      <c r="D13" s="7"/>
      <c r="E13" s="7"/>
      <c r="F13" s="7"/>
      <c r="G13" s="12" t="str">
        <f aca="false">IF(C13="","",IF(Annahmen!$B$5="Ja",C13+D13,(C13+D13)/(1+Annahmen!$B$6)))</f>
        <v/>
      </c>
      <c r="H13" s="12" t="str">
        <f aca="false">IF(C13="","",(C13+D13)*Annahmen!$B$7+Annahmen!$B$8)</f>
        <v/>
      </c>
      <c r="I13" s="13" t="str">
        <f aca="false">IF(C13="","",Annahmen!$B$15)</f>
        <v/>
      </c>
      <c r="J13" s="13" t="str">
        <f aca="false">IF(C13="","",Annahmen!$B$16)</f>
        <v/>
      </c>
      <c r="K13" s="12" t="str">
        <f aca="false">IF(C13="","",G13-E13-F13-H13-I13-J13)</f>
        <v/>
      </c>
      <c r="L13" s="14" t="str">
        <f aca="false">IF(C13="","",IF(G13&gt;0,K13/G13,0))</f>
        <v/>
      </c>
      <c r="M13" s="15" t="str">
        <f aca="false">IF(C13="","",IF(K13&lt;0,"Verlust",IF(L13&lt;0.15,"knapp","ok")))</f>
        <v/>
      </c>
    </row>
    <row r="14" customFormat="false" ht="15" hidden="false" customHeight="false" outlineLevel="0" collapsed="false">
      <c r="A14" s="5"/>
      <c r="B14" s="5"/>
      <c r="C14" s="7"/>
      <c r="D14" s="7"/>
      <c r="E14" s="7"/>
      <c r="F14" s="7"/>
      <c r="G14" s="12" t="str">
        <f aca="false">IF(C14="","",IF(Annahmen!$B$5="Ja",C14+D14,(C14+D14)/(1+Annahmen!$B$6)))</f>
        <v/>
      </c>
      <c r="H14" s="12" t="str">
        <f aca="false">IF(C14="","",(C14+D14)*Annahmen!$B$7+Annahmen!$B$8)</f>
        <v/>
      </c>
      <c r="I14" s="13" t="str">
        <f aca="false">IF(C14="","",Annahmen!$B$15)</f>
        <v/>
      </c>
      <c r="J14" s="13" t="str">
        <f aca="false">IF(C14="","",Annahmen!$B$16)</f>
        <v/>
      </c>
      <c r="K14" s="12" t="str">
        <f aca="false">IF(C14="","",G14-E14-F14-H14-I14-J14)</f>
        <v/>
      </c>
      <c r="L14" s="14" t="str">
        <f aca="false">IF(C14="","",IF(G14&gt;0,K14/G14,0))</f>
        <v/>
      </c>
      <c r="M14" s="15" t="str">
        <f aca="false">IF(C14="","",IF(K14&lt;0,"Verlust",IF(L14&lt;0.15,"knapp","ok")))</f>
        <v/>
      </c>
    </row>
    <row r="15" customFormat="false" ht="15" hidden="false" customHeight="false" outlineLevel="0" collapsed="false">
      <c r="A15" s="5"/>
      <c r="B15" s="5"/>
      <c r="C15" s="7"/>
      <c r="D15" s="7"/>
      <c r="E15" s="7"/>
      <c r="F15" s="7"/>
      <c r="G15" s="12" t="str">
        <f aca="false">IF(C15="","",IF(Annahmen!$B$5="Ja",C15+D15,(C15+D15)/(1+Annahmen!$B$6)))</f>
        <v/>
      </c>
      <c r="H15" s="12" t="str">
        <f aca="false">IF(C15="","",(C15+D15)*Annahmen!$B$7+Annahmen!$B$8)</f>
        <v/>
      </c>
      <c r="I15" s="13" t="str">
        <f aca="false">IF(C15="","",Annahmen!$B$15)</f>
        <v/>
      </c>
      <c r="J15" s="13" t="str">
        <f aca="false">IF(C15="","",Annahmen!$B$16)</f>
        <v/>
      </c>
      <c r="K15" s="12" t="str">
        <f aca="false">IF(C15="","",G15-E15-F15-H15-I15-J15)</f>
        <v/>
      </c>
      <c r="L15" s="14" t="str">
        <f aca="false">IF(C15="","",IF(G15&gt;0,K15/G15,0))</f>
        <v/>
      </c>
      <c r="M15" s="15" t="str">
        <f aca="false">IF(C15="","",IF(K15&lt;0,"Verlust",IF(L15&lt;0.15,"knapp","ok")))</f>
        <v/>
      </c>
    </row>
    <row r="16" customFormat="false" ht="15" hidden="false" customHeight="false" outlineLevel="0" collapsed="false">
      <c r="A16" s="5"/>
      <c r="B16" s="5"/>
      <c r="C16" s="7"/>
      <c r="D16" s="7"/>
      <c r="E16" s="7"/>
      <c r="F16" s="7"/>
      <c r="G16" s="12" t="str">
        <f aca="false">IF(C16="","",IF(Annahmen!$B$5="Ja",C16+D16,(C16+D16)/(1+Annahmen!$B$6)))</f>
        <v/>
      </c>
      <c r="H16" s="12" t="str">
        <f aca="false">IF(C16="","",(C16+D16)*Annahmen!$B$7+Annahmen!$B$8)</f>
        <v/>
      </c>
      <c r="I16" s="13" t="str">
        <f aca="false">IF(C16="","",Annahmen!$B$15)</f>
        <v/>
      </c>
      <c r="J16" s="13" t="str">
        <f aca="false">IF(C16="","",Annahmen!$B$16)</f>
        <v/>
      </c>
      <c r="K16" s="12" t="str">
        <f aca="false">IF(C16="","",G16-E16-F16-H16-I16-J16)</f>
        <v/>
      </c>
      <c r="L16" s="14" t="str">
        <f aca="false">IF(C16="","",IF(G16&gt;0,K16/G16,0))</f>
        <v/>
      </c>
      <c r="M16" s="15" t="str">
        <f aca="false">IF(C16="","",IF(K16&lt;0,"Verlust",IF(L16&lt;0.15,"knapp","ok")))</f>
        <v/>
      </c>
    </row>
    <row r="17" customFormat="false" ht="15" hidden="false" customHeight="false" outlineLevel="0" collapsed="false">
      <c r="A17" s="5"/>
      <c r="B17" s="5"/>
      <c r="C17" s="7"/>
      <c r="D17" s="7"/>
      <c r="E17" s="7"/>
      <c r="F17" s="7"/>
      <c r="G17" s="12" t="str">
        <f aca="false">IF(C17="","",IF(Annahmen!$B$5="Ja",C17+D17,(C17+D17)/(1+Annahmen!$B$6)))</f>
        <v/>
      </c>
      <c r="H17" s="12" t="str">
        <f aca="false">IF(C17="","",(C17+D17)*Annahmen!$B$7+Annahmen!$B$8)</f>
        <v/>
      </c>
      <c r="I17" s="13" t="str">
        <f aca="false">IF(C17="","",Annahmen!$B$15)</f>
        <v/>
      </c>
      <c r="J17" s="13" t="str">
        <f aca="false">IF(C17="","",Annahmen!$B$16)</f>
        <v/>
      </c>
      <c r="K17" s="12" t="str">
        <f aca="false">IF(C17="","",G17-E17-F17-H17-I17-J17)</f>
        <v/>
      </c>
      <c r="L17" s="14" t="str">
        <f aca="false">IF(C17="","",IF(G17&gt;0,K17/G17,0))</f>
        <v/>
      </c>
      <c r="M17" s="15" t="str">
        <f aca="false">IF(C17="","",IF(K17&lt;0,"Verlust",IF(L17&lt;0.15,"knapp","ok")))</f>
        <v/>
      </c>
    </row>
    <row r="18" customFormat="false" ht="15" hidden="false" customHeight="false" outlineLevel="0" collapsed="false">
      <c r="A18" s="5"/>
      <c r="B18" s="5"/>
      <c r="C18" s="7"/>
      <c r="D18" s="7"/>
      <c r="E18" s="7"/>
      <c r="F18" s="7"/>
      <c r="G18" s="12" t="str">
        <f aca="false">IF(C18="","",IF(Annahmen!$B$5="Ja",C18+D18,(C18+D18)/(1+Annahmen!$B$6)))</f>
        <v/>
      </c>
      <c r="H18" s="12" t="str">
        <f aca="false">IF(C18="","",(C18+D18)*Annahmen!$B$7+Annahmen!$B$8)</f>
        <v/>
      </c>
      <c r="I18" s="13" t="str">
        <f aca="false">IF(C18="","",Annahmen!$B$15)</f>
        <v/>
      </c>
      <c r="J18" s="13" t="str">
        <f aca="false">IF(C18="","",Annahmen!$B$16)</f>
        <v/>
      </c>
      <c r="K18" s="12" t="str">
        <f aca="false">IF(C18="","",G18-E18-F18-H18-I18-J18)</f>
        <v/>
      </c>
      <c r="L18" s="14" t="str">
        <f aca="false">IF(C18="","",IF(G18&gt;0,K18/G18,0))</f>
        <v/>
      </c>
      <c r="M18" s="15" t="str">
        <f aca="false">IF(C18="","",IF(K18&lt;0,"Verlust",IF(L18&lt;0.15,"knapp","ok")))</f>
        <v/>
      </c>
    </row>
    <row r="19" customFormat="false" ht="15" hidden="false" customHeight="false" outlineLevel="0" collapsed="false">
      <c r="A19" s="5"/>
      <c r="B19" s="5"/>
      <c r="C19" s="7"/>
      <c r="D19" s="7"/>
      <c r="E19" s="7"/>
      <c r="F19" s="7"/>
      <c r="G19" s="12" t="str">
        <f aca="false">IF(C19="","",IF(Annahmen!$B$5="Ja",C19+D19,(C19+D19)/(1+Annahmen!$B$6)))</f>
        <v/>
      </c>
      <c r="H19" s="12" t="str">
        <f aca="false">IF(C19="","",(C19+D19)*Annahmen!$B$7+Annahmen!$B$8)</f>
        <v/>
      </c>
      <c r="I19" s="13" t="str">
        <f aca="false">IF(C19="","",Annahmen!$B$15)</f>
        <v/>
      </c>
      <c r="J19" s="13" t="str">
        <f aca="false">IF(C19="","",Annahmen!$B$16)</f>
        <v/>
      </c>
      <c r="K19" s="12" t="str">
        <f aca="false">IF(C19="","",G19-E19-F19-H19-I19-J19)</f>
        <v/>
      </c>
      <c r="L19" s="14" t="str">
        <f aca="false">IF(C19="","",IF(G19&gt;0,K19/G19,0))</f>
        <v/>
      </c>
      <c r="M19" s="15" t="str">
        <f aca="false">IF(C19="","",IF(K19&lt;0,"Verlust",IF(L19&lt;0.15,"knapp","ok")))</f>
        <v/>
      </c>
    </row>
    <row r="20" customFormat="false" ht="15" hidden="false" customHeight="false" outlineLevel="0" collapsed="false">
      <c r="A20" s="5"/>
      <c r="B20" s="5"/>
      <c r="C20" s="7"/>
      <c r="D20" s="7"/>
      <c r="E20" s="7"/>
      <c r="F20" s="7"/>
      <c r="G20" s="12" t="str">
        <f aca="false">IF(C20="","",IF(Annahmen!$B$5="Ja",C20+D20,(C20+D20)/(1+Annahmen!$B$6)))</f>
        <v/>
      </c>
      <c r="H20" s="12" t="str">
        <f aca="false">IF(C20="","",(C20+D20)*Annahmen!$B$7+Annahmen!$B$8)</f>
        <v/>
      </c>
      <c r="I20" s="13" t="str">
        <f aca="false">IF(C20="","",Annahmen!$B$15)</f>
        <v/>
      </c>
      <c r="J20" s="13" t="str">
        <f aca="false">IF(C20="","",Annahmen!$B$16)</f>
        <v/>
      </c>
      <c r="K20" s="12" t="str">
        <f aca="false">IF(C20="","",G20-E20-F20-H20-I20-J20)</f>
        <v/>
      </c>
      <c r="L20" s="14" t="str">
        <f aca="false">IF(C20="","",IF(G20&gt;0,K20/G20,0))</f>
        <v/>
      </c>
      <c r="M20" s="15" t="str">
        <f aca="false">IF(C20="","",IF(K20&lt;0,"Verlust",IF(L20&lt;0.15,"knapp","ok")))</f>
        <v/>
      </c>
    </row>
    <row r="21" customFormat="false" ht="15" hidden="false" customHeight="false" outlineLevel="0" collapsed="false">
      <c r="A21" s="5"/>
      <c r="B21" s="5"/>
      <c r="C21" s="7"/>
      <c r="D21" s="7"/>
      <c r="E21" s="7"/>
      <c r="F21" s="7"/>
      <c r="G21" s="12" t="str">
        <f aca="false">IF(C21="","",IF(Annahmen!$B$5="Ja",C21+D21,(C21+D21)/(1+Annahmen!$B$6)))</f>
        <v/>
      </c>
      <c r="H21" s="12" t="str">
        <f aca="false">IF(C21="","",(C21+D21)*Annahmen!$B$7+Annahmen!$B$8)</f>
        <v/>
      </c>
      <c r="I21" s="13" t="str">
        <f aca="false">IF(C21="","",Annahmen!$B$15)</f>
        <v/>
      </c>
      <c r="J21" s="13" t="str">
        <f aca="false">IF(C21="","",Annahmen!$B$16)</f>
        <v/>
      </c>
      <c r="K21" s="12" t="str">
        <f aca="false">IF(C21="","",G21-E21-F21-H21-I21-J21)</f>
        <v/>
      </c>
      <c r="L21" s="14" t="str">
        <f aca="false">IF(C21="","",IF(G21&gt;0,K21/G21,0))</f>
        <v/>
      </c>
      <c r="M21" s="15" t="str">
        <f aca="false">IF(C21="","",IF(K21&lt;0,"Verlust",IF(L21&lt;0.15,"knapp","ok")))</f>
        <v/>
      </c>
    </row>
    <row r="22" customFormat="false" ht="15" hidden="false" customHeight="false" outlineLevel="0" collapsed="false">
      <c r="A22" s="5"/>
      <c r="B22" s="5"/>
      <c r="C22" s="7"/>
      <c r="D22" s="7"/>
      <c r="E22" s="7"/>
      <c r="F22" s="7"/>
      <c r="G22" s="12" t="str">
        <f aca="false">IF(C22="","",IF(Annahmen!$B$5="Ja",C22+D22,(C22+D22)/(1+Annahmen!$B$6)))</f>
        <v/>
      </c>
      <c r="H22" s="12" t="str">
        <f aca="false">IF(C22="","",(C22+D22)*Annahmen!$B$7+Annahmen!$B$8)</f>
        <v/>
      </c>
      <c r="I22" s="13" t="str">
        <f aca="false">IF(C22="","",Annahmen!$B$15)</f>
        <v/>
      </c>
      <c r="J22" s="13" t="str">
        <f aca="false">IF(C22="","",Annahmen!$B$16)</f>
        <v/>
      </c>
      <c r="K22" s="12" t="str">
        <f aca="false">IF(C22="","",G22-E22-F22-H22-I22-J22)</f>
        <v/>
      </c>
      <c r="L22" s="14" t="str">
        <f aca="false">IF(C22="","",IF(G22&gt;0,K22/G22,0))</f>
        <v/>
      </c>
      <c r="M22" s="15" t="str">
        <f aca="false">IF(C22="","",IF(K22&lt;0,"Verlust",IF(L22&lt;0.15,"knapp","ok")))</f>
        <v/>
      </c>
    </row>
    <row r="23" customFormat="false" ht="15" hidden="false" customHeight="false" outlineLevel="0" collapsed="false">
      <c r="A23" s="5"/>
      <c r="B23" s="5"/>
      <c r="C23" s="7"/>
      <c r="D23" s="7"/>
      <c r="E23" s="7"/>
      <c r="F23" s="7"/>
      <c r="G23" s="12" t="str">
        <f aca="false">IF(C23="","",IF(Annahmen!$B$5="Ja",C23+D23,(C23+D23)/(1+Annahmen!$B$6)))</f>
        <v/>
      </c>
      <c r="H23" s="12" t="str">
        <f aca="false">IF(C23="","",(C23+D23)*Annahmen!$B$7+Annahmen!$B$8)</f>
        <v/>
      </c>
      <c r="I23" s="13" t="str">
        <f aca="false">IF(C23="","",Annahmen!$B$15)</f>
        <v/>
      </c>
      <c r="J23" s="13" t="str">
        <f aca="false">IF(C23="","",Annahmen!$B$16)</f>
        <v/>
      </c>
      <c r="K23" s="12" t="str">
        <f aca="false">IF(C23="","",G23-E23-F23-H23-I23-J23)</f>
        <v/>
      </c>
      <c r="L23" s="14" t="str">
        <f aca="false">IF(C23="","",IF(G23&gt;0,K23/G23,0))</f>
        <v/>
      </c>
      <c r="M23" s="15" t="str">
        <f aca="false">IF(C23="","",IF(K23&lt;0,"Verlust",IF(L23&lt;0.15,"knapp","ok")))</f>
        <v/>
      </c>
    </row>
    <row r="24" customFormat="false" ht="15" hidden="false" customHeight="false" outlineLevel="0" collapsed="false">
      <c r="A24" s="5"/>
      <c r="B24" s="5"/>
      <c r="C24" s="7"/>
      <c r="D24" s="7"/>
      <c r="E24" s="7"/>
      <c r="F24" s="7"/>
      <c r="G24" s="12" t="str">
        <f aca="false">IF(C24="","",IF(Annahmen!$B$5="Ja",C24+D24,(C24+D24)/(1+Annahmen!$B$6)))</f>
        <v/>
      </c>
      <c r="H24" s="12" t="str">
        <f aca="false">IF(C24="","",(C24+D24)*Annahmen!$B$7+Annahmen!$B$8)</f>
        <v/>
      </c>
      <c r="I24" s="13" t="str">
        <f aca="false">IF(C24="","",Annahmen!$B$15)</f>
        <v/>
      </c>
      <c r="J24" s="13" t="str">
        <f aca="false">IF(C24="","",Annahmen!$B$16)</f>
        <v/>
      </c>
      <c r="K24" s="12" t="str">
        <f aca="false">IF(C24="","",G24-E24-F24-H24-I24-J24)</f>
        <v/>
      </c>
      <c r="L24" s="14" t="str">
        <f aca="false">IF(C24="","",IF(G24&gt;0,K24/G24,0))</f>
        <v/>
      </c>
      <c r="M24" s="15" t="str">
        <f aca="false">IF(C24="","",IF(K24&lt;0,"Verlust",IF(L24&lt;0.15,"knapp","ok")))</f>
        <v/>
      </c>
    </row>
    <row r="25" customFormat="false" ht="15" hidden="false" customHeight="false" outlineLevel="0" collapsed="false">
      <c r="A25" s="5"/>
      <c r="B25" s="5"/>
      <c r="C25" s="7"/>
      <c r="D25" s="7"/>
      <c r="E25" s="7"/>
      <c r="F25" s="7"/>
      <c r="G25" s="12" t="str">
        <f aca="false">IF(C25="","",IF(Annahmen!$B$5="Ja",C25+D25,(C25+D25)/(1+Annahmen!$B$6)))</f>
        <v/>
      </c>
      <c r="H25" s="12" t="str">
        <f aca="false">IF(C25="","",(C25+D25)*Annahmen!$B$7+Annahmen!$B$8)</f>
        <v/>
      </c>
      <c r="I25" s="13" t="str">
        <f aca="false">IF(C25="","",Annahmen!$B$15)</f>
        <v/>
      </c>
      <c r="J25" s="13" t="str">
        <f aca="false">IF(C25="","",Annahmen!$B$16)</f>
        <v/>
      </c>
      <c r="K25" s="12" t="str">
        <f aca="false">IF(C25="","",G25-E25-F25-H25-I25-J25)</f>
        <v/>
      </c>
      <c r="L25" s="14" t="str">
        <f aca="false">IF(C25="","",IF(G25&gt;0,K25/G25,0))</f>
        <v/>
      </c>
      <c r="M25" s="15" t="str">
        <f aca="false">IF(C25="","",IF(K25&lt;0,"Verlust",IF(L25&lt;0.15,"knapp","ok")))</f>
        <v/>
      </c>
    </row>
    <row r="26" customFormat="false" ht="15" hidden="false" customHeight="false" outlineLevel="0" collapsed="false">
      <c r="A26" s="5"/>
      <c r="B26" s="5"/>
      <c r="C26" s="7"/>
      <c r="D26" s="7"/>
      <c r="E26" s="7"/>
      <c r="F26" s="7"/>
      <c r="G26" s="12" t="str">
        <f aca="false">IF(C26="","",IF(Annahmen!$B$5="Ja",C26+D26,(C26+D26)/(1+Annahmen!$B$6)))</f>
        <v/>
      </c>
      <c r="H26" s="12" t="str">
        <f aca="false">IF(C26="","",(C26+D26)*Annahmen!$B$7+Annahmen!$B$8)</f>
        <v/>
      </c>
      <c r="I26" s="13" t="str">
        <f aca="false">IF(C26="","",Annahmen!$B$15)</f>
        <v/>
      </c>
      <c r="J26" s="13" t="str">
        <f aca="false">IF(C26="","",Annahmen!$B$16)</f>
        <v/>
      </c>
      <c r="K26" s="12" t="str">
        <f aca="false">IF(C26="","",G26-E26-F26-H26-I26-J26)</f>
        <v/>
      </c>
      <c r="L26" s="14" t="str">
        <f aca="false">IF(C26="","",IF(G26&gt;0,K26/G26,0))</f>
        <v/>
      </c>
      <c r="M26" s="15" t="str">
        <f aca="false">IF(C26="","",IF(K26&lt;0,"Verlust",IF(L26&lt;0.15,"knapp","ok")))</f>
        <v/>
      </c>
    </row>
    <row r="27" customFormat="false" ht="15" hidden="false" customHeight="false" outlineLevel="0" collapsed="false">
      <c r="A27" s="5"/>
      <c r="B27" s="5"/>
      <c r="C27" s="7"/>
      <c r="D27" s="7"/>
      <c r="E27" s="7"/>
      <c r="F27" s="7"/>
      <c r="G27" s="12" t="str">
        <f aca="false">IF(C27="","",IF(Annahmen!$B$5="Ja",C27+D27,(C27+D27)/(1+Annahmen!$B$6)))</f>
        <v/>
      </c>
      <c r="H27" s="12" t="str">
        <f aca="false">IF(C27="","",(C27+D27)*Annahmen!$B$7+Annahmen!$B$8)</f>
        <v/>
      </c>
      <c r="I27" s="13" t="str">
        <f aca="false">IF(C27="","",Annahmen!$B$15)</f>
        <v/>
      </c>
      <c r="J27" s="13" t="str">
        <f aca="false">IF(C27="","",Annahmen!$B$16)</f>
        <v/>
      </c>
      <c r="K27" s="12" t="str">
        <f aca="false">IF(C27="","",G27-E27-F27-H27-I27-J27)</f>
        <v/>
      </c>
      <c r="L27" s="14" t="str">
        <f aca="false">IF(C27="","",IF(G27&gt;0,K27/G27,0))</f>
        <v/>
      </c>
      <c r="M27" s="15" t="str">
        <f aca="false">IF(C27="","",IF(K27&lt;0,"Verlust",IF(L27&lt;0.15,"knapp","ok")))</f>
        <v/>
      </c>
    </row>
    <row r="28" customFormat="false" ht="15" hidden="false" customHeight="false" outlineLevel="0" collapsed="false">
      <c r="A28" s="5"/>
      <c r="B28" s="5"/>
      <c r="C28" s="7"/>
      <c r="D28" s="7"/>
      <c r="E28" s="7"/>
      <c r="F28" s="7"/>
      <c r="G28" s="12" t="str">
        <f aca="false">IF(C28="","",IF(Annahmen!$B$5="Ja",C28+D28,(C28+D28)/(1+Annahmen!$B$6)))</f>
        <v/>
      </c>
      <c r="H28" s="12" t="str">
        <f aca="false">IF(C28="","",(C28+D28)*Annahmen!$B$7+Annahmen!$B$8)</f>
        <v/>
      </c>
      <c r="I28" s="13" t="str">
        <f aca="false">IF(C28="","",Annahmen!$B$15)</f>
        <v/>
      </c>
      <c r="J28" s="13" t="str">
        <f aca="false">IF(C28="","",Annahmen!$B$16)</f>
        <v/>
      </c>
      <c r="K28" s="12" t="str">
        <f aca="false">IF(C28="","",G28-E28-F28-H28-I28-J28)</f>
        <v/>
      </c>
      <c r="L28" s="14" t="str">
        <f aca="false">IF(C28="","",IF(G28&gt;0,K28/G28,0))</f>
        <v/>
      </c>
      <c r="M28" s="15" t="str">
        <f aca="false">IF(C28="","",IF(K28&lt;0,"Verlust",IF(L28&lt;0.15,"knapp","ok")))</f>
        <v/>
      </c>
    </row>
    <row r="29" customFormat="false" ht="15" hidden="false" customHeight="false" outlineLevel="0" collapsed="false">
      <c r="A29" s="5"/>
      <c r="B29" s="5"/>
      <c r="C29" s="7"/>
      <c r="D29" s="7"/>
      <c r="E29" s="7"/>
      <c r="F29" s="7"/>
      <c r="G29" s="12" t="str">
        <f aca="false">IF(C29="","",IF(Annahmen!$B$5="Ja",C29+D29,(C29+D29)/(1+Annahmen!$B$6)))</f>
        <v/>
      </c>
      <c r="H29" s="12" t="str">
        <f aca="false">IF(C29="","",(C29+D29)*Annahmen!$B$7+Annahmen!$B$8)</f>
        <v/>
      </c>
      <c r="I29" s="13" t="str">
        <f aca="false">IF(C29="","",Annahmen!$B$15)</f>
        <v/>
      </c>
      <c r="J29" s="13" t="str">
        <f aca="false">IF(C29="","",Annahmen!$B$16)</f>
        <v/>
      </c>
      <c r="K29" s="12" t="str">
        <f aca="false">IF(C29="","",G29-E29-F29-H29-I29-J29)</f>
        <v/>
      </c>
      <c r="L29" s="14" t="str">
        <f aca="false">IF(C29="","",IF(G29&gt;0,K29/G29,0))</f>
        <v/>
      </c>
      <c r="M29" s="15" t="str">
        <f aca="false">IF(C29="","",IF(K29&lt;0,"Verlust",IF(L29&lt;0.15,"knapp","ok")))</f>
        <v/>
      </c>
    </row>
    <row r="30" customFormat="false" ht="15" hidden="false" customHeight="false" outlineLevel="0" collapsed="false">
      <c r="A30" s="5"/>
      <c r="B30" s="5"/>
      <c r="C30" s="7"/>
      <c r="D30" s="7"/>
      <c r="E30" s="7"/>
      <c r="F30" s="7"/>
      <c r="G30" s="12" t="str">
        <f aca="false">IF(C30="","",IF(Annahmen!$B$5="Ja",C30+D30,(C30+D30)/(1+Annahmen!$B$6)))</f>
        <v/>
      </c>
      <c r="H30" s="12" t="str">
        <f aca="false">IF(C30="","",(C30+D30)*Annahmen!$B$7+Annahmen!$B$8)</f>
        <v/>
      </c>
      <c r="I30" s="13" t="str">
        <f aca="false">IF(C30="","",Annahmen!$B$15)</f>
        <v/>
      </c>
      <c r="J30" s="13" t="str">
        <f aca="false">IF(C30="","",Annahmen!$B$16)</f>
        <v/>
      </c>
      <c r="K30" s="12" t="str">
        <f aca="false">IF(C30="","",G30-E30-F30-H30-I30-J30)</f>
        <v/>
      </c>
      <c r="L30" s="14" t="str">
        <f aca="false">IF(C30="","",IF(G30&gt;0,K30/G30,0))</f>
        <v/>
      </c>
      <c r="M30" s="15" t="str">
        <f aca="false">IF(C30="","",IF(K30&lt;0,"Verlust",IF(L30&lt;0.15,"knapp","ok")))</f>
        <v/>
      </c>
    </row>
    <row r="31" customFormat="false" ht="15" hidden="false" customHeight="false" outlineLevel="0" collapsed="false">
      <c r="A31" s="5"/>
      <c r="B31" s="5"/>
      <c r="C31" s="7"/>
      <c r="D31" s="7"/>
      <c r="E31" s="7"/>
      <c r="F31" s="7"/>
      <c r="G31" s="12" t="str">
        <f aca="false">IF(C31="","",IF(Annahmen!$B$5="Ja",C31+D31,(C31+D31)/(1+Annahmen!$B$6)))</f>
        <v/>
      </c>
      <c r="H31" s="12" t="str">
        <f aca="false">IF(C31="","",(C31+D31)*Annahmen!$B$7+Annahmen!$B$8)</f>
        <v/>
      </c>
      <c r="I31" s="13" t="str">
        <f aca="false">IF(C31="","",Annahmen!$B$15)</f>
        <v/>
      </c>
      <c r="J31" s="13" t="str">
        <f aca="false">IF(C31="","",Annahmen!$B$16)</f>
        <v/>
      </c>
      <c r="K31" s="12" t="str">
        <f aca="false">IF(C31="","",G31-E31-F31-H31-I31-J31)</f>
        <v/>
      </c>
      <c r="L31" s="14" t="str">
        <f aca="false">IF(C31="","",IF(G31&gt;0,K31/G31,0))</f>
        <v/>
      </c>
      <c r="M31" s="15" t="str">
        <f aca="false">IF(C31="","",IF(K31&lt;0,"Verlust",IF(L31&lt;0.15,"knapp","ok")))</f>
        <v/>
      </c>
    </row>
    <row r="32" customFormat="false" ht="15" hidden="false" customHeight="false" outlineLevel="0" collapsed="false">
      <c r="A32" s="5"/>
      <c r="B32" s="5"/>
      <c r="C32" s="7"/>
      <c r="D32" s="7"/>
      <c r="E32" s="7"/>
      <c r="F32" s="7"/>
      <c r="G32" s="12" t="str">
        <f aca="false">IF(C32="","",IF(Annahmen!$B$5="Ja",C32+D32,(C32+D32)/(1+Annahmen!$B$6)))</f>
        <v/>
      </c>
      <c r="H32" s="12" t="str">
        <f aca="false">IF(C32="","",(C32+D32)*Annahmen!$B$7+Annahmen!$B$8)</f>
        <v/>
      </c>
      <c r="I32" s="13" t="str">
        <f aca="false">IF(C32="","",Annahmen!$B$15)</f>
        <v/>
      </c>
      <c r="J32" s="13" t="str">
        <f aca="false">IF(C32="","",Annahmen!$B$16)</f>
        <v/>
      </c>
      <c r="K32" s="12" t="str">
        <f aca="false">IF(C32="","",G32-E32-F32-H32-I32-J32)</f>
        <v/>
      </c>
      <c r="L32" s="14" t="str">
        <f aca="false">IF(C32="","",IF(G32&gt;0,K32/G32,0))</f>
        <v/>
      </c>
      <c r="M32" s="15" t="str">
        <f aca="false">IF(C32="","",IF(K32&lt;0,"Verlust",IF(L32&lt;0.15,"knapp","ok")))</f>
        <v/>
      </c>
    </row>
    <row r="33" customFormat="false" ht="15" hidden="false" customHeight="false" outlineLevel="0" collapsed="false">
      <c r="A33" s="5"/>
      <c r="B33" s="5"/>
      <c r="C33" s="7"/>
      <c r="D33" s="7"/>
      <c r="E33" s="7"/>
      <c r="F33" s="7"/>
      <c r="G33" s="12" t="str">
        <f aca="false">IF(C33="","",IF(Annahmen!$B$5="Ja",C33+D33,(C33+D33)/(1+Annahmen!$B$6)))</f>
        <v/>
      </c>
      <c r="H33" s="12" t="str">
        <f aca="false">IF(C33="","",(C33+D33)*Annahmen!$B$7+Annahmen!$B$8)</f>
        <v/>
      </c>
      <c r="I33" s="13" t="str">
        <f aca="false">IF(C33="","",Annahmen!$B$15)</f>
        <v/>
      </c>
      <c r="J33" s="13" t="str">
        <f aca="false">IF(C33="","",Annahmen!$B$16)</f>
        <v/>
      </c>
      <c r="K33" s="12" t="str">
        <f aca="false">IF(C33="","",G33-E33-F33-H33-I33-J33)</f>
        <v/>
      </c>
      <c r="L33" s="14" t="str">
        <f aca="false">IF(C33="","",IF(G33&gt;0,K33/G33,0))</f>
        <v/>
      </c>
      <c r="M33" s="15" t="str">
        <f aca="false">IF(C33="","",IF(K33&lt;0,"Verlust",IF(L33&lt;0.15,"knapp","ok")))</f>
        <v/>
      </c>
    </row>
    <row r="34" customFormat="false" ht="15" hidden="false" customHeight="false" outlineLevel="0" collapsed="false">
      <c r="A34" s="5"/>
      <c r="B34" s="5"/>
      <c r="C34" s="7"/>
      <c r="D34" s="7"/>
      <c r="E34" s="7"/>
      <c r="F34" s="7"/>
      <c r="G34" s="12" t="str">
        <f aca="false">IF(C34="","",IF(Annahmen!$B$5="Ja",C34+D34,(C34+D34)/(1+Annahmen!$B$6)))</f>
        <v/>
      </c>
      <c r="H34" s="12" t="str">
        <f aca="false">IF(C34="","",(C34+D34)*Annahmen!$B$7+Annahmen!$B$8)</f>
        <v/>
      </c>
      <c r="I34" s="13" t="str">
        <f aca="false">IF(C34="","",Annahmen!$B$15)</f>
        <v/>
      </c>
      <c r="J34" s="13" t="str">
        <f aca="false">IF(C34="","",Annahmen!$B$16)</f>
        <v/>
      </c>
      <c r="K34" s="12" t="str">
        <f aca="false">IF(C34="","",G34-E34-F34-H34-I34-J34)</f>
        <v/>
      </c>
      <c r="L34" s="14" t="str">
        <f aca="false">IF(C34="","",IF(G34&gt;0,K34/G34,0))</f>
        <v/>
      </c>
      <c r="M34" s="15" t="str">
        <f aca="false">IF(C34="","",IF(K34&lt;0,"Verlust",IF(L34&lt;0.15,"knapp","ok")))</f>
        <v/>
      </c>
    </row>
  </sheetData>
  <conditionalFormatting sqref="M5:M34">
    <cfRule type="cellIs" priority="2" operator="equal" aboveAverage="0" equalAverage="0" bottom="0" percent="0" rank="0" text="" dxfId="0">
      <formula>"Verlust"</formula>
    </cfRule>
    <cfRule type="cellIs" priority="3" operator="equal" aboveAverage="0" equalAverage="0" bottom="0" percent="0" rank="0" text="" dxfId="1">
      <formula>"knapp"</formula>
    </cfRule>
    <cfRule type="cellIs" priority="4" operator="equal" aboveAverage="0" equalAverage="0" bottom="0" percent="0" rank="0" text="" dxfId="2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2026-10-28T23:36:59Z</dcterms:created>
  <dc:creator>openpyxl</dc:creator>
  <dc:description/>
  <dc:language>en-US</dc:language>
  <cp:lastModifiedBy/>
  <dcterms:modified xsi:type="dcterms:W3CDTF">2026-10-28T23:36:59Z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